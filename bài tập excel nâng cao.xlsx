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y9\OneDrive\"/>
    </mc:Choice>
  </mc:AlternateContent>
  <bookViews>
    <workbookView xWindow="0" yWindow="0" windowWidth="24000" windowHeight="951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J3" i="1"/>
  <c r="J4" i="1"/>
  <c r="J5" i="1"/>
  <c r="J6" i="1"/>
  <c r="J7" i="1"/>
  <c r="J2" i="1"/>
  <c r="I3" i="1"/>
  <c r="I4" i="1"/>
  <c r="I5" i="1"/>
  <c r="I6" i="1"/>
  <c r="I7" i="1"/>
  <c r="I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<sst xmlns="http://schemas.openxmlformats.org/spreadsheetml/2006/main" count="33" uniqueCount="33">
  <si>
    <t>STT</t>
  </si>
  <si>
    <t>TÊN KHÁCH</t>
  </si>
  <si>
    <t>SỐ
PHÒNG</t>
  </si>
  <si>
    <t>NGÀY
ĐẾN</t>
  </si>
  <si>
    <t>NGÀY
ĐI</t>
  </si>
  <si>
    <t>SỐ NGÀY
Ở</t>
  </si>
  <si>
    <t>SỐ
TUẦN</t>
  </si>
  <si>
    <t>TIỀN
DỊCH VỤ</t>
  </si>
  <si>
    <t>TÊN 
DỊCH VỤ</t>
  </si>
  <si>
    <t>GIÁ
PHÒNG</t>
  </si>
  <si>
    <t>GIẢM
GIÁ</t>
  </si>
  <si>
    <t>THÀNH 
TIỀN</t>
  </si>
  <si>
    <t>PHẠM THỊ NHUNG</t>
  </si>
  <si>
    <t>NGÔ GIA HÂN</t>
  </si>
  <si>
    <t>TRẦN QUỐC TẤN</t>
  </si>
  <si>
    <t>LÊ ANH BẢO</t>
  </si>
  <si>
    <t>NGUYÊN QUỐC</t>
  </si>
  <si>
    <t>HÀ HUỆ ANH</t>
  </si>
  <si>
    <t>LA-103</t>
  </si>
  <si>
    <t>FB-106</t>
  </si>
  <si>
    <t>BU-207</t>
  </si>
  <si>
    <t>FB-307</t>
  </si>
  <si>
    <t>LA-204</t>
  </si>
  <si>
    <t>FB-210</t>
  </si>
  <si>
    <t>BẢNG KÊ THEO TẦNG</t>
  </si>
  <si>
    <t>TẦNG</t>
  </si>
  <si>
    <t>TỔNG THÀNH TIỀN</t>
  </si>
  <si>
    <t>BẢNG KÊ THEO DỊCH VỤ</t>
  </si>
  <si>
    <t>MX DỊCH VỤ</t>
  </si>
  <si>
    <t>TỔNG
TIỀN
DỊCH
VỤ</t>
  </si>
  <si>
    <t>LA</t>
  </si>
  <si>
    <t>FB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</si>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</sst>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L2" sqref="L2:L7"/>
    </sheetView>
  </sheetViews>
  <sheetFormatPr defaultRowHeight="15" x14ac:dyDescent="0.25"/>
  <cols>
    <col min="2" max="2" width="21.85546875" customWidth="1"/>
    <col min="3" max="3" width="10" customWidth="1"/>
    <col min="4" max="4" width="13" customWidth="1"/>
    <col min="6" max="6" width="12.5703125" customWidth="1"/>
    <col min="8" max="8" width="17" customWidth="1"/>
    <col min="9" max="9" width="18" customWidth="1"/>
    <col min="14" max="14" width="26.140625" customWidth="1"/>
  </cols>
  <sheetData>
    <row r="1" spans="1:17" ht="30" x14ac:dyDescent="0.2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7" x14ac:dyDescent="0.25">
      <c r="A2" s="1">
        <v>1</v>
      </c>
      <c r="B2" t="s">
        <v>12</v>
      </c>
      <c r="C2" t="s">
        <v>18</v>
      </c>
      <c r="D2" s="4">
        <v>42009</v>
      </c>
      <c r="E2" s="4">
        <v>42040</v>
      </c>
      <c r="F2">
        <f>E2-D2</f>
        <v>31</v>
      </c>
      <c r="G2">
        <f>F2/7</f>
        <v>4.4285714285714288</v>
      </c>
      <c r="H2">
        <v>15</v>
      </c>
      <c r="I2" t="str">
        <f>IF(LEFT(C2,2)="BU","Business Center",IF(LEFT(C2,2)="LA","Laundry",IF(LEFT(C2,2)="FB","Food &amp; Beverage",)))</f>
        <v>Laundry</v>
      </c>
      <c r="J2">
        <f>IF(MID(C2,4,1)="1",60,IF(MID(C2,4,1)="2",50,IF(MID(C2,4,1)="3",40,)))</f>
        <v>60</v>
      </c>
      <c r="L2">
        <f>F2*J2+H2</f>
        <v>1875</v>
      </c>
    </row>
    <row r="3" spans="1:17" x14ac:dyDescent="0.25">
      <c r="A3" s="1">
        <v>2</v>
      </c>
      <c r="B3" t="s">
        <v>13</v>
      </c>
      <c r="C3" t="s">
        <v>19</v>
      </c>
      <c r="D3" s="4">
        <v>42071</v>
      </c>
      <c r="E3" s="4">
        <v>42095</v>
      </c>
      <c r="F3">
        <f t="shared" ref="F3:F7" si="0">E3-D3</f>
        <v>24</v>
      </c>
      <c r="G3">
        <f t="shared" ref="G3:G7" si="1">F3/7</f>
        <v>3.4285714285714284</v>
      </c>
      <c r="H3">
        <v>10</v>
      </c>
      <c r="I3" t="str">
        <f t="shared" ref="I3:I7" si="2">IF(LEFT(C3,2)="BU","Business Center",IF(LEFT(C3,2)="LA","Laundry",IF(LEFT(C3,2)="FB","Food &amp; Beverage",)))</f>
        <v>Food &amp; Beverage</v>
      </c>
      <c r="J3">
        <f t="shared" ref="J3:J7" si="3">IF(MID(C3,4,1)="1",60,IF(MID(C3,4,1)="2",50,IF(MID(C3,4,1)="3",40,)))</f>
        <v>60</v>
      </c>
      <c r="L3">
        <f t="shared" ref="L3:L7" si="4">F3*J3+H3</f>
        <v>1450</v>
      </c>
    </row>
    <row r="4" spans="1:17" x14ac:dyDescent="0.25">
      <c r="A4" s="1">
        <v>3</v>
      </c>
      <c r="B4" t="s">
        <v>14</v>
      </c>
      <c r="C4" t="s">
        <v>20</v>
      </c>
      <c r="D4" s="4">
        <v>42104</v>
      </c>
      <c r="E4" s="4">
        <v>42115</v>
      </c>
      <c r="F4">
        <f t="shared" si="0"/>
        <v>11</v>
      </c>
      <c r="G4">
        <f t="shared" si="1"/>
        <v>1.5714285714285714</v>
      </c>
      <c r="H4">
        <v>5</v>
      </c>
      <c r="I4" t="str">
        <f t="shared" si="2"/>
        <v>Business Center</v>
      </c>
      <c r="J4">
        <f t="shared" si="3"/>
        <v>50</v>
      </c>
      <c r="L4">
        <f t="shared" si="4"/>
        <v>555</v>
      </c>
    </row>
    <row r="5" spans="1:17" x14ac:dyDescent="0.25">
      <c r="A5" s="1">
        <v>4</v>
      </c>
      <c r="B5" t="s">
        <v>15</v>
      </c>
      <c r="C5" t="s">
        <v>21</v>
      </c>
      <c r="D5" s="4">
        <v>42110</v>
      </c>
      <c r="E5" s="4">
        <v>42136</v>
      </c>
      <c r="F5">
        <f t="shared" si="0"/>
        <v>26</v>
      </c>
      <c r="G5">
        <f t="shared" si="1"/>
        <v>3.7142857142857144</v>
      </c>
      <c r="H5">
        <v>10</v>
      </c>
      <c r="I5" t="str">
        <f t="shared" si="2"/>
        <v>Food &amp; Beverage</v>
      </c>
      <c r="J5">
        <f t="shared" si="3"/>
        <v>40</v>
      </c>
      <c r="L5">
        <f t="shared" si="4"/>
        <v>1050</v>
      </c>
      <c r="N5" s="5" t="s">
        <v>24</v>
      </c>
      <c r="O5" s="5"/>
      <c r="P5" s="5"/>
      <c r="Q5" s="5"/>
    </row>
    <row r="6" spans="1:17" x14ac:dyDescent="0.25">
      <c r="A6" s="1">
        <v>5</v>
      </c>
      <c r="B6" t="s">
        <v>16</v>
      </c>
      <c r="C6" t="s">
        <v>22</v>
      </c>
      <c r="D6" s="4">
        <v>42130</v>
      </c>
      <c r="E6" s="4">
        <v>42164</v>
      </c>
      <c r="F6">
        <f t="shared" si="0"/>
        <v>34</v>
      </c>
      <c r="G6">
        <f t="shared" si="1"/>
        <v>4.8571428571428568</v>
      </c>
      <c r="H6">
        <v>15</v>
      </c>
      <c r="I6" t="str">
        <f t="shared" si="2"/>
        <v>Laundry</v>
      </c>
      <c r="J6">
        <f t="shared" si="3"/>
        <v>50</v>
      </c>
      <c r="L6">
        <f t="shared" si="4"/>
        <v>1715</v>
      </c>
      <c r="N6" t="s">
        <v>25</v>
      </c>
      <c r="O6" s="1">
        <v>1</v>
      </c>
      <c r="P6" s="1">
        <v>2</v>
      </c>
      <c r="Q6" s="1">
        <v>3</v>
      </c>
    </row>
    <row r="7" spans="1:17" x14ac:dyDescent="0.25">
      <c r="A7" s="1">
        <v>6</v>
      </c>
      <c r="B7" t="s">
        <v>17</v>
      </c>
      <c r="C7" t="s">
        <v>23</v>
      </c>
      <c r="D7" s="4">
        <v>42131</v>
      </c>
      <c r="E7" s="4">
        <v>42141</v>
      </c>
      <c r="F7">
        <f t="shared" si="0"/>
        <v>10</v>
      </c>
      <c r="G7">
        <f t="shared" si="1"/>
        <v>1.4285714285714286</v>
      </c>
      <c r="H7">
        <v>10</v>
      </c>
      <c r="I7" t="str">
        <f t="shared" si="2"/>
        <v>Food &amp; Beverage</v>
      </c>
      <c r="J7">
        <f t="shared" si="3"/>
        <v>50</v>
      </c>
      <c r="L7">
        <f t="shared" si="4"/>
        <v>510</v>
      </c>
      <c r="N7" t="s">
        <v>26</v>
      </c>
    </row>
    <row r="9" spans="1:17" x14ac:dyDescent="0.25">
      <c r="N9" s="5" t="s">
        <v>27</v>
      </c>
      <c r="O9" s="5"/>
    </row>
    <row r="10" spans="1:17" ht="60" x14ac:dyDescent="0.25">
      <c r="N10" s="3" t="s">
        <v>28</v>
      </c>
      <c r="O10" s="6" t="s">
        <v>29</v>
      </c>
    </row>
    <row r="11" spans="1:17" x14ac:dyDescent="0.25">
      <c r="N11" t="s">
        <v>30</v>
      </c>
    </row>
    <row r="12" spans="1:17" x14ac:dyDescent="0.25">
      <c r="N12" t="s">
        <v>31</v>
      </c>
    </row>
    <row r="13" spans="1:17" x14ac:dyDescent="0.25">
      <c r="N13" t="s">
        <v>32</v>
      </c>
    </row>
  </sheetData>
  <mergeCells count="2">
    <mergeCell ref="N5:Q5"/>
    <mergeCell ref="N9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2025-10-31T00:03:48Z</dcterms:created>
  <dcterms:modified xsi:type="dcterms:W3CDTF">2025-10-31T01:37:51Z</dcterms:modified>
</cp:coreProperties>
</file>