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y9\OneDrive\"/>
    </mc:Choice>
  </mc:AlternateContent>
  <bookViews>
    <workbookView xWindow="0" yWindow="0" windowWidth="24000" windowHeight="9510"/>
  </bookViews>
  <sheets>
    <sheet name="Bai 1.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8" i="1" l="1"/>
  <c r="J9" i="1"/>
  <c r="J10" i="1"/>
  <c r="J11" i="1"/>
  <c r="J12" i="1"/>
  <c r="J13" i="1"/>
  <c r="J14" i="1"/>
  <c r="J15" i="1"/>
  <c r="J16" i="1"/>
  <c r="J17" i="1"/>
  <c r="J18" i="1"/>
  <c r="J7" i="1"/>
  <c r="I8" i="1"/>
  <c r="I9" i="1"/>
  <c r="I10" i="1"/>
  <c r="I11" i="1"/>
  <c r="I12" i="1"/>
  <c r="I13" i="1"/>
  <c r="I14" i="1"/>
  <c r="I15" i="1"/>
  <c r="I16" i="1"/>
  <c r="I17" i="1"/>
  <c r="I18" i="1"/>
  <c r="I7" i="1"/>
  <c r="H8" i="1"/>
  <c r="H9" i="1"/>
  <c r="H10" i="1"/>
  <c r="H11" i="1"/>
  <c r="H12" i="1"/>
  <c r="H13" i="1"/>
  <c r="H14" i="1"/>
  <c r="H15" i="1"/>
  <c r="H16" i="1"/>
  <c r="H17" i="1"/>
  <c r="H18" i="1"/>
  <c r="H7" i="1"/>
  <c r="G8" i="1"/>
  <c r="G9" i="1"/>
  <c r="G10" i="1"/>
  <c r="G11" i="1"/>
  <c r="G12" i="1"/>
  <c r="G13" i="1"/>
  <c r="G14" i="1"/>
  <c r="G15" i="1"/>
  <c r="G16" i="1"/>
  <c r="G17" i="1"/>
  <c r="G18" i="1"/>
  <c r="G7" i="1"/>
</calcChain>
</file>

<file path=xl/sharedStrings.xml><?xml version="1.0" encoding="utf-8"?>
<sst xmlns="http://schemas.openxmlformats.org/spreadsheetml/2006/main" count="49" uniqueCount="43">
  <si>
    <t>LƯƠNG GIÁO VIÊN HỢP ĐỒNG (tháng…năm…)</t>
  </si>
  <si>
    <t>Tiền công 1 tiết</t>
  </si>
  <si>
    <t>Hệ số trợ cấp</t>
  </si>
  <si>
    <t>Họ và tên</t>
  </si>
  <si>
    <t>Môn</t>
  </si>
  <si>
    <t>Thực lãnh</t>
  </si>
  <si>
    <t>Nguyễn Văn</t>
  </si>
  <si>
    <t>An</t>
  </si>
  <si>
    <t>Đào Thị</t>
  </si>
  <si>
    <t>Bông</t>
  </si>
  <si>
    <t xml:space="preserve">Cao Thị </t>
  </si>
  <si>
    <t>Dung</t>
  </si>
  <si>
    <t xml:space="preserve">Đinh Trọng </t>
  </si>
  <si>
    <t>Đào Thanh</t>
  </si>
  <si>
    <t>Hưng</t>
  </si>
  <si>
    <t>Nguyễn Thị</t>
  </si>
  <si>
    <t>My</t>
  </si>
  <si>
    <t>Hà Thị</t>
  </si>
  <si>
    <t>Ánh</t>
  </si>
  <si>
    <t>Vũ Anh</t>
  </si>
  <si>
    <t>Công</t>
  </si>
  <si>
    <t xml:space="preserve">Lý Thị </t>
  </si>
  <si>
    <t>Mùi</t>
  </si>
  <si>
    <t xml:space="preserve">Cao Văn </t>
  </si>
  <si>
    <t>Em</t>
  </si>
  <si>
    <t>Thái Thị</t>
  </si>
  <si>
    <t>Ái</t>
  </si>
  <si>
    <t>Hồ</t>
  </si>
  <si>
    <t>Đồng Văn</t>
  </si>
  <si>
    <t>Tiền 
lương</t>
  </si>
  <si>
    <t>Trợ cấp 
hợp đồng</t>
  </si>
  <si>
    <t>Tổng số tiết 
1 tháng</t>
  </si>
  <si>
    <t>TRUNG TÂM LUYỆN THI 
AAA</t>
  </si>
  <si>
    <t>Lý</t>
  </si>
  <si>
    <t>Hóa</t>
  </si>
  <si>
    <t>Văn</t>
  </si>
  <si>
    <t>Sử</t>
  </si>
  <si>
    <t>Toán</t>
  </si>
  <si>
    <t>Sinh</t>
  </si>
  <si>
    <t>Địa</t>
  </si>
  <si>
    <t>STT</t>
  </si>
  <si>
    <t>Số lớp 
dạy</t>
  </si>
  <si>
    <t>Số tiết 
1 tuần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</si>
</sst>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Times New Roman"/>
      <family val="2"/>
      <charset val="163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/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2" xfId="0" applyBorder="1" applyAlignment="1"/>
    <xf numFmtId="0" fontId="0" fillId="0" borderId="3" xfId="0" applyBorder="1" applyAlignment="1"/>
    <xf numFmtId="0" fontId="0" fillId="0" borderId="1" xfId="0" applyBorder="1" applyAlignment="1"/>
    <xf numFmtId="0" fontId="0" fillId="0" borderId="4" xfId="0" applyBorder="1" applyAlignment="1">
      <alignment horizontal="left"/>
    </xf>
    <xf numFmtId="3" fontId="0" fillId="0" borderId="4" xfId="0" applyNumberFormat="1" applyBorder="1"/>
    <xf numFmtId="0" fontId="0" fillId="0" borderId="5" xfId="0" applyBorder="1" applyAlignment="1">
      <alignment horizontal="left"/>
    </xf>
    <xf numFmtId="10" fontId="0" fillId="0" borderId="5" xfId="0" applyNumberForma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textRotation="180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Border="1" applyAlignmen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tabSelected="1" workbookViewId="0">
      <selection activeCell="O7" sqref="O7"/>
    </sheetView>
  </sheetViews>
  <sheetFormatPr defaultRowHeight="15" x14ac:dyDescent="0.25"/>
  <cols>
    <col min="1" max="1" width="6.28515625" customWidth="1"/>
    <col min="2" max="2" width="13.7109375" customWidth="1"/>
    <col min="6" max="6" width="11.140625" customWidth="1"/>
    <col min="7" max="7" width="15" customWidth="1"/>
    <col min="8" max="8" width="12.5703125" customWidth="1"/>
    <col min="9" max="9" width="17.5703125" customWidth="1"/>
    <col min="10" max="10" width="17" customWidth="1"/>
  </cols>
  <sheetData>
    <row r="1" spans="1:10" ht="25.5" customHeight="1" x14ac:dyDescent="0.25">
      <c r="B1" s="16" t="s">
        <v>32</v>
      </c>
      <c r="C1" s="4"/>
      <c r="D1" s="4"/>
      <c r="E1" s="4"/>
      <c r="F1" s="4"/>
      <c r="G1" s="17" t="s">
        <v>0</v>
      </c>
      <c r="H1" s="17"/>
      <c r="I1" s="17"/>
      <c r="J1" s="17"/>
    </row>
    <row r="2" spans="1:10" ht="15.75" thickBot="1" x14ac:dyDescent="0.3"/>
    <row r="3" spans="1:10" x14ac:dyDescent="0.25">
      <c r="G3" s="8" t="s">
        <v>1</v>
      </c>
      <c r="H3" s="8"/>
      <c r="I3" s="9">
        <v>50000</v>
      </c>
    </row>
    <row r="4" spans="1:10" ht="15.75" thickBot="1" x14ac:dyDescent="0.3">
      <c r="G4" s="10" t="s">
        <v>2</v>
      </c>
      <c r="H4" s="10"/>
      <c r="I4" s="11">
        <v>1.4999999999999999E-2</v>
      </c>
    </row>
    <row r="6" spans="1:10" ht="33.75" customHeight="1" x14ac:dyDescent="0.25">
      <c r="A6" s="19" t="s">
        <v>40</v>
      </c>
      <c r="B6" s="12" t="s">
        <v>3</v>
      </c>
      <c r="C6" s="12"/>
      <c r="D6" s="13" t="s">
        <v>4</v>
      </c>
      <c r="E6" s="14" t="s">
        <v>41</v>
      </c>
      <c r="F6" s="14" t="s">
        <v>42</v>
      </c>
      <c r="G6" s="14" t="s">
        <v>31</v>
      </c>
      <c r="H6" s="14" t="s">
        <v>29</v>
      </c>
      <c r="I6" s="14" t="s">
        <v>30</v>
      </c>
      <c r="J6" s="15" t="s">
        <v>5</v>
      </c>
    </row>
    <row r="7" spans="1:10" x14ac:dyDescent="0.25">
      <c r="A7" s="1">
        <v>1</v>
      </c>
      <c r="B7" s="5" t="s">
        <v>6</v>
      </c>
      <c r="C7" s="6" t="s">
        <v>7</v>
      </c>
      <c r="D7" s="3" t="s">
        <v>33</v>
      </c>
      <c r="E7" s="3">
        <v>3</v>
      </c>
      <c r="F7" s="3">
        <v>6</v>
      </c>
      <c r="G7" s="3">
        <f>E7*F7*4</f>
        <v>72</v>
      </c>
      <c r="H7" s="3">
        <f>G7*$I$3</f>
        <v>3600000</v>
      </c>
      <c r="I7" s="3">
        <f>H7*$I$4</f>
        <v>54000</v>
      </c>
      <c r="J7" s="3">
        <f>H7+I7</f>
        <v>3654000</v>
      </c>
    </row>
    <row r="8" spans="1:10" x14ac:dyDescent="0.25">
      <c r="A8" s="1">
        <v>2</v>
      </c>
      <c r="B8" s="5" t="s">
        <v>8</v>
      </c>
      <c r="C8" s="6" t="s">
        <v>9</v>
      </c>
      <c r="D8" s="3" t="s">
        <v>34</v>
      </c>
      <c r="E8" s="3">
        <v>4</v>
      </c>
      <c r="F8" s="3">
        <v>9</v>
      </c>
      <c r="G8" s="3">
        <f t="shared" ref="G8:G18" si="0">E8*F8*4</f>
        <v>144</v>
      </c>
      <c r="H8" s="3">
        <f t="shared" ref="H8:H18" si="1">G8*$I$3</f>
        <v>7200000</v>
      </c>
      <c r="I8" s="3">
        <f t="shared" ref="I8:I18" si="2">H8*$I$4</f>
        <v>108000</v>
      </c>
      <c r="J8" s="3">
        <f t="shared" ref="J8:J18" si="3">H8+I8</f>
        <v>7308000</v>
      </c>
    </row>
    <row r="9" spans="1:10" x14ac:dyDescent="0.25">
      <c r="A9" s="1">
        <v>3</v>
      </c>
      <c r="B9" s="5" t="s">
        <v>10</v>
      </c>
      <c r="C9" s="6" t="s">
        <v>11</v>
      </c>
      <c r="D9" s="3" t="s">
        <v>34</v>
      </c>
      <c r="E9" s="3">
        <v>1</v>
      </c>
      <c r="F9" s="3">
        <v>3</v>
      </c>
      <c r="G9" s="3">
        <f t="shared" si="0"/>
        <v>12</v>
      </c>
      <c r="H9" s="3">
        <f t="shared" si="1"/>
        <v>600000</v>
      </c>
      <c r="I9" s="3">
        <f t="shared" si="2"/>
        <v>9000</v>
      </c>
      <c r="J9" s="3">
        <f t="shared" si="3"/>
        <v>609000</v>
      </c>
    </row>
    <row r="10" spans="1:10" x14ac:dyDescent="0.25">
      <c r="A10" s="1">
        <v>4</v>
      </c>
      <c r="B10" s="5" t="s">
        <v>12</v>
      </c>
      <c r="C10" s="6" t="s">
        <v>11</v>
      </c>
      <c r="D10" s="3" t="s">
        <v>33</v>
      </c>
      <c r="E10" s="3">
        <v>2</v>
      </c>
      <c r="F10" s="3">
        <v>6</v>
      </c>
      <c r="G10" s="3">
        <f t="shared" si="0"/>
        <v>48</v>
      </c>
      <c r="H10" s="3">
        <f t="shared" si="1"/>
        <v>2400000</v>
      </c>
      <c r="I10" s="3">
        <f t="shared" si="2"/>
        <v>36000</v>
      </c>
      <c r="J10" s="3">
        <f t="shared" si="3"/>
        <v>2436000</v>
      </c>
    </row>
    <row r="11" spans="1:10" x14ac:dyDescent="0.25">
      <c r="A11" s="1">
        <v>5</v>
      </c>
      <c r="B11" s="5" t="s">
        <v>13</v>
      </c>
      <c r="C11" s="6" t="s">
        <v>14</v>
      </c>
      <c r="D11" s="3" t="s">
        <v>35</v>
      </c>
      <c r="E11" s="3">
        <v>3</v>
      </c>
      <c r="F11" s="3">
        <v>9</v>
      </c>
      <c r="G11" s="3">
        <f t="shared" si="0"/>
        <v>108</v>
      </c>
      <c r="H11" s="3">
        <f t="shared" si="1"/>
        <v>5400000</v>
      </c>
      <c r="I11" s="3">
        <f t="shared" si="2"/>
        <v>81000</v>
      </c>
      <c r="J11" s="3">
        <f t="shared" si="3"/>
        <v>5481000</v>
      </c>
    </row>
    <row r="12" spans="1:10" x14ac:dyDescent="0.25">
      <c r="A12" s="1">
        <v>6</v>
      </c>
      <c r="B12" s="5" t="s">
        <v>15</v>
      </c>
      <c r="C12" s="6" t="s">
        <v>16</v>
      </c>
      <c r="D12" s="3" t="s">
        <v>36</v>
      </c>
      <c r="E12" s="3">
        <v>3</v>
      </c>
      <c r="F12" s="3">
        <v>10</v>
      </c>
      <c r="G12" s="3">
        <f t="shared" si="0"/>
        <v>120</v>
      </c>
      <c r="H12" s="3">
        <f t="shared" si="1"/>
        <v>6000000</v>
      </c>
      <c r="I12" s="3">
        <f t="shared" si="2"/>
        <v>90000</v>
      </c>
      <c r="J12" s="3">
        <f t="shared" si="3"/>
        <v>6090000</v>
      </c>
    </row>
    <row r="13" spans="1:10" x14ac:dyDescent="0.25">
      <c r="A13" s="1">
        <v>7</v>
      </c>
      <c r="B13" s="5" t="s">
        <v>17</v>
      </c>
      <c r="C13" s="6" t="s">
        <v>18</v>
      </c>
      <c r="D13" s="3" t="s">
        <v>37</v>
      </c>
      <c r="E13" s="3">
        <v>4</v>
      </c>
      <c r="F13" s="3">
        <v>4</v>
      </c>
      <c r="G13" s="3">
        <f t="shared" si="0"/>
        <v>64</v>
      </c>
      <c r="H13" s="3">
        <f t="shared" si="1"/>
        <v>3200000</v>
      </c>
      <c r="I13" s="3">
        <f t="shared" si="2"/>
        <v>48000</v>
      </c>
      <c r="J13" s="3">
        <f t="shared" si="3"/>
        <v>3248000</v>
      </c>
    </row>
    <row r="14" spans="1:10" x14ac:dyDescent="0.25">
      <c r="A14" s="1">
        <v>8</v>
      </c>
      <c r="B14" s="5" t="s">
        <v>19</v>
      </c>
      <c r="C14" s="6" t="s">
        <v>20</v>
      </c>
      <c r="D14" s="3" t="s">
        <v>38</v>
      </c>
      <c r="E14" s="3">
        <v>5</v>
      </c>
      <c r="F14" s="3">
        <v>2</v>
      </c>
      <c r="G14" s="3">
        <f t="shared" si="0"/>
        <v>40</v>
      </c>
      <c r="H14" s="3">
        <f t="shared" si="1"/>
        <v>2000000</v>
      </c>
      <c r="I14" s="3">
        <f t="shared" si="2"/>
        <v>30000</v>
      </c>
      <c r="J14" s="3">
        <f t="shared" si="3"/>
        <v>2030000</v>
      </c>
    </row>
    <row r="15" spans="1:10" x14ac:dyDescent="0.25">
      <c r="A15" s="1">
        <v>9</v>
      </c>
      <c r="B15" s="5" t="s">
        <v>21</v>
      </c>
      <c r="C15" s="6" t="s">
        <v>22</v>
      </c>
      <c r="D15" s="3" t="s">
        <v>38</v>
      </c>
      <c r="E15" s="3">
        <v>7</v>
      </c>
      <c r="F15" s="3">
        <v>2</v>
      </c>
      <c r="G15" s="3">
        <f t="shared" si="0"/>
        <v>56</v>
      </c>
      <c r="H15" s="3">
        <f t="shared" si="1"/>
        <v>2800000</v>
      </c>
      <c r="I15" s="3">
        <f t="shared" si="2"/>
        <v>42000</v>
      </c>
      <c r="J15" s="3">
        <f t="shared" si="3"/>
        <v>2842000</v>
      </c>
    </row>
    <row r="16" spans="1:10" x14ac:dyDescent="0.25">
      <c r="A16" s="1">
        <v>10</v>
      </c>
      <c r="B16" s="5" t="s">
        <v>23</v>
      </c>
      <c r="C16" s="6" t="s">
        <v>24</v>
      </c>
      <c r="D16" s="3" t="s">
        <v>37</v>
      </c>
      <c r="E16" s="3">
        <v>6</v>
      </c>
      <c r="F16" s="3">
        <v>6</v>
      </c>
      <c r="G16" s="3">
        <f t="shared" si="0"/>
        <v>144</v>
      </c>
      <c r="H16" s="3">
        <f t="shared" si="1"/>
        <v>7200000</v>
      </c>
      <c r="I16" s="3">
        <f t="shared" si="2"/>
        <v>108000</v>
      </c>
      <c r="J16" s="3">
        <f t="shared" si="3"/>
        <v>7308000</v>
      </c>
    </row>
    <row r="17" spans="1:10" x14ac:dyDescent="0.25">
      <c r="A17" s="1">
        <v>11</v>
      </c>
      <c r="B17" s="5" t="s">
        <v>25</v>
      </c>
      <c r="C17" s="6" t="s">
        <v>26</v>
      </c>
      <c r="D17" s="3" t="s">
        <v>35</v>
      </c>
      <c r="E17" s="3">
        <v>3</v>
      </c>
      <c r="F17" s="7">
        <v>6</v>
      </c>
      <c r="G17" s="3">
        <f t="shared" si="0"/>
        <v>72</v>
      </c>
      <c r="H17" s="3">
        <f t="shared" si="1"/>
        <v>3600000</v>
      </c>
      <c r="I17" s="3">
        <f t="shared" si="2"/>
        <v>54000</v>
      </c>
      <c r="J17" s="3">
        <f t="shared" si="3"/>
        <v>3654000</v>
      </c>
    </row>
    <row r="18" spans="1:10" x14ac:dyDescent="0.25">
      <c r="A18" s="1">
        <v>12</v>
      </c>
      <c r="B18" s="5" t="s">
        <v>28</v>
      </c>
      <c r="C18" s="6" t="s">
        <v>27</v>
      </c>
      <c r="D18" s="3" t="s">
        <v>39</v>
      </c>
      <c r="E18" s="3">
        <v>4</v>
      </c>
      <c r="F18" s="3">
        <v>3</v>
      </c>
      <c r="G18" s="3">
        <f t="shared" si="0"/>
        <v>48</v>
      </c>
      <c r="H18" s="3">
        <f t="shared" si="1"/>
        <v>2400000</v>
      </c>
      <c r="I18" s="3">
        <f t="shared" si="2"/>
        <v>36000</v>
      </c>
      <c r="J18" s="3">
        <f t="shared" si="3"/>
        <v>2436000</v>
      </c>
    </row>
    <row r="19" spans="1:10" x14ac:dyDescent="0.25">
      <c r="B19" s="18"/>
      <c r="C19" s="18"/>
      <c r="D19" s="2"/>
      <c r="E19" s="2"/>
      <c r="F19" s="2"/>
      <c r="G19" s="2"/>
      <c r="H19" s="2"/>
      <c r="I19" s="2"/>
      <c r="J19" s="2"/>
    </row>
  </sheetData>
  <mergeCells count="5">
    <mergeCell ref="B1:F1"/>
    <mergeCell ref="G1:J1"/>
    <mergeCell ref="G3:H3"/>
    <mergeCell ref="G4:H4"/>
    <mergeCell ref="B6:C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Bai 1.1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2025-10-24T00:03:39Z</dcterms:created>
  <dcterms:modified xsi:type="dcterms:W3CDTF">2025-10-24T01:27:17Z</dcterms:modified>
</cp:coreProperties>
</file>